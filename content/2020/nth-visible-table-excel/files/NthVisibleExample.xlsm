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jackm\Documents\GitHub\jackmckew.dev\drafts\2020\nth-visible-table-excel\"/>
    </mc:Choice>
  </mc:AlternateContent>
  <xr:revisionPtr revIDLastSave="0" documentId="13_ncr:1_{6A9136FB-D2E9-495E-9B71-681F0DD3776E}" xr6:coauthVersionLast="45" xr6:coauthVersionMax="45" xr10:uidLastSave="{00000000-0000-0000-0000-000000000000}"/>
  <bookViews>
    <workbookView xWindow="-103" yWindow="-103" windowWidth="16663" windowHeight="8863" xr2:uid="{724E37D1-B486-4582-A3EF-CDA4AAB234C9}"/>
  </bookViews>
  <sheets>
    <sheet name="Data Table" sheetId="1" r:id="rId1"/>
  </sheets>
  <functionGroups builtInGroupCount="19"/>
  <definedNames>
    <definedName name="Slicer_Region">#N/A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6" i="1" l="1" a="1"/>
  <c r="I5" i="1" a="1"/>
  <c r="I4" i="1" a="1"/>
  <c r="I3" i="1" a="1"/>
  <c r="I2" i="1" a="1"/>
  <c r="I6" i="1" l="1"/>
  <c r="I5" i="1"/>
  <c r="I4" i="1"/>
  <c r="I3" i="1"/>
  <c r="I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<sst xmlns="http://schemas.openxmlformats.org/spreadsheetml/2006/main" count="179" uniqueCount="61">
  <si>
    <t>OrderDate</t>
  </si>
  <si>
    <t>Region</t>
  </si>
  <si>
    <t>Rep</t>
  </si>
  <si>
    <t>Item</t>
  </si>
  <si>
    <t>Units</t>
  </si>
  <si>
    <t>UnitCost</t>
  </si>
  <si>
    <t>Total</t>
  </si>
  <si>
    <t>East</t>
  </si>
  <si>
    <t>Jones</t>
  </si>
  <si>
    <t>Pencil</t>
  </si>
  <si>
    <t>1/23/2019</t>
  </si>
  <si>
    <t>Central</t>
  </si>
  <si>
    <t>Kivell</t>
  </si>
  <si>
    <t>Binder</t>
  </si>
  <si>
    <t>Jardine</t>
  </si>
  <si>
    <t>2/26/2019</t>
  </si>
  <si>
    <t>Gill</t>
  </si>
  <si>
    <t>Pen</t>
  </si>
  <si>
    <t>3/15/2019</t>
  </si>
  <si>
    <t>West</t>
  </si>
  <si>
    <t>Sorvino</t>
  </si>
  <si>
    <t>4/18/2019</t>
  </si>
  <si>
    <t>Andrews</t>
  </si>
  <si>
    <t>5/22/2019</t>
  </si>
  <si>
    <t>Thompson</t>
  </si>
  <si>
    <t>6/25/2019</t>
  </si>
  <si>
    <t>Morgan</t>
  </si>
  <si>
    <t>Howard</t>
  </si>
  <si>
    <t>7/29/2019</t>
  </si>
  <si>
    <t>Parent</t>
  </si>
  <si>
    <t>8/15/2019</t>
  </si>
  <si>
    <t>Smith</t>
  </si>
  <si>
    <t>Desk</t>
  </si>
  <si>
    <t>9/18/2019</t>
  </si>
  <si>
    <t>Pen Set</t>
  </si>
  <si>
    <t>10/22/2019</t>
  </si>
  <si>
    <t>11/25/2019</t>
  </si>
  <si>
    <t>12/29/2019</t>
  </si>
  <si>
    <t>1/15/2020</t>
  </si>
  <si>
    <t>2/18/2020</t>
  </si>
  <si>
    <t>3/24/2020</t>
  </si>
  <si>
    <t>4/27/2020</t>
  </si>
  <si>
    <t>5/14/2020</t>
  </si>
  <si>
    <t>5/31/2020</t>
  </si>
  <si>
    <t>6/17/2020</t>
  </si>
  <si>
    <t>7/21/2020</t>
  </si>
  <si>
    <t>8/24/2020</t>
  </si>
  <si>
    <t>9/27/2020</t>
  </si>
  <si>
    <t>10/14/2020</t>
  </si>
  <si>
    <t>10/31/2020</t>
  </si>
  <si>
    <t>11/17/2020</t>
  </si>
  <si>
    <t>12/21/2020</t>
  </si>
  <si>
    <t>Data Source:</t>
  </si>
  <si>
    <t>https://www.contextures.com/xlSampleData01.html</t>
  </si>
  <si>
    <t>Find Nth</t>
  </si>
  <si>
    <t>Data Table</t>
  </si>
  <si>
    <t>Row Index</t>
  </si>
  <si>
    <t>Column Index</t>
  </si>
  <si>
    <t>Table1</t>
  </si>
  <si>
    <t>Source Table Name</t>
  </si>
  <si>
    <t>Source Sheet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</si>
</sst>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u/>
      <sz val="11"/>
      <color theme="10"/>
      <name val="Calibri"/>
      <family val="2"/>
      <scheme val="minor"/>
    </font>
    <font>
      <sz val="8"/>
      <name val="Calibri"/>
      <family val="2"/>
      <scheme val="minor"/>
    </font>
  </fonts>
  <fills count="3">
    <fill>
      <patternFill patternType="none"/>
    </fill>
    <fill>
      <patternFill patternType="gray125"/>
    </fill>
    <fill>
      <patternFill patternType="solid">
        <fgColor rgb="FF9999FF"/>
        <bgColor indexed="64"/>
      </patternFill>
    </fill>
  </fills>
  <borders count="10">
    <border>
      <left/>
      <right/>
      <top/>
      <bottom/>
      <diagonal/>
    </border>
    <border>
      <left style="thin">
        <color rgb="FF6666FF"/>
      </left>
      <right style="thin">
        <color rgb="FF6666FF"/>
      </right>
      <top style="thin">
        <color rgb="FF6666FF"/>
      </top>
      <bottom style="thin">
        <color rgb="FF6666FF"/>
      </bottom>
      <diagonal/>
    </border>
    <border>
      <left/>
      <right style="thin">
        <color rgb="FF6666FF"/>
      </right>
      <top style="thin">
        <color rgb="FF6666FF"/>
      </top>
      <bottom style="thin">
        <color rgb="FF6666FF"/>
      </bottom>
      <diagonal/>
    </border>
    <border>
      <left style="thin">
        <color rgb="FF6666FF"/>
      </left>
      <right/>
      <top style="thin">
        <color rgb="FF6666FF"/>
      </top>
      <bottom style="thin">
        <color rgb="FF6666FF"/>
      </bottom>
      <diagonal/>
    </border>
    <border>
      <left/>
      <right style="thin">
        <color rgb="FF6666FF"/>
      </right>
      <top/>
      <bottom style="thin">
        <color rgb="FF6666FF"/>
      </bottom>
      <diagonal/>
    </border>
    <border>
      <left style="thin">
        <color rgb="FF6666FF"/>
      </left>
      <right style="thin">
        <color rgb="FF6666FF"/>
      </right>
      <top/>
      <bottom style="thin">
        <color rgb="FF6666FF"/>
      </bottom>
      <diagonal/>
    </border>
    <border>
      <left style="thin">
        <color rgb="FF6666FF"/>
      </left>
      <right/>
      <top/>
      <bottom style="thin">
        <color rgb="FF6666FF"/>
      </bottom>
      <diagonal/>
    </border>
    <border>
      <left/>
      <right style="thin">
        <color rgb="FF6666FF"/>
      </right>
      <top style="thin">
        <color rgb="FF6666FF"/>
      </top>
      <bottom/>
      <diagonal/>
    </border>
    <border>
      <left style="thin">
        <color rgb="FF6666FF"/>
      </left>
      <right style="thin">
        <color rgb="FF6666FF"/>
      </right>
      <top style="thin">
        <color rgb="FF6666FF"/>
      </top>
      <bottom/>
      <diagonal/>
    </border>
    <border>
      <left style="thin">
        <color rgb="FF6666FF"/>
      </left>
      <right/>
      <top style="thin">
        <color rgb="FF6666FF"/>
      </top>
      <bottom/>
      <diagonal/>
    </border>
  </borders>
  <cellStyleXfs count="2">
    <xf numFmtId="0" fontId="0" fillId="0" borderId="0"/>
    <xf numFmtId="0" fontId="2" fillId="0" borderId="0" applyNumberFormat="0" applyFill="0" applyBorder="0" applyAlignment="0" applyProtection="0"/>
  </cellStyleXfs>
  <cellXfs count="18">
    <xf numFmtId="0" fontId="0" fillId="0" borderId="0" xfId="0"/>
    <xf numFmtId="0" fontId="0" fillId="0" borderId="1" xfId="0" applyBorder="1" applyAlignment="1">
      <alignment horizontal="center" vertical="center" wrapText="1"/>
    </xf>
    <xf numFmtId="0" fontId="0" fillId="0" borderId="1" xfId="0" applyBorder="1" applyAlignment="1">
      <alignment horizontal="right" vertical="center" wrapText="1"/>
    </xf>
    <xf numFmtId="14" fontId="0" fillId="0" borderId="2" xfId="0" applyNumberFormat="1" applyBorder="1" applyAlignment="1">
      <alignment horizontal="right" vertical="center" wrapText="1"/>
    </xf>
    <xf numFmtId="0" fontId="0" fillId="0" borderId="2" xfId="0" applyBorder="1" applyAlignment="1">
      <alignment horizontal="right" vertical="center" wrapText="1"/>
    </xf>
    <xf numFmtId="0" fontId="0" fillId="0" borderId="3" xfId="0" applyBorder="1" applyAlignment="1">
      <alignment horizontal="right" vertical="center" wrapText="1"/>
    </xf>
    <xf numFmtId="4" fontId="0" fillId="0" borderId="3" xfId="0" applyNumberFormat="1" applyBorder="1" applyAlignment="1">
      <alignment horizontal="right" vertical="center" wrapText="1"/>
    </xf>
    <xf numFmtId="0" fontId="1" fillId="2" borderId="4" xfId="0" applyFont="1" applyFill="1" applyBorder="1" applyAlignment="1">
      <alignment horizontal="right" vertical="center" wrapText="1"/>
    </xf>
    <xf numFmtId="0" fontId="1" fillId="2" borderId="5" xfId="0" applyFont="1" applyFill="1" applyBorder="1" applyAlignment="1">
      <alignment horizontal="center" vertical="center" wrapText="1"/>
    </xf>
    <xf numFmtId="0" fontId="1" fillId="2" borderId="5" xfId="0" applyFont="1" applyFill="1" applyBorder="1" applyAlignment="1">
      <alignment horizontal="right" vertical="center" wrapText="1"/>
    </xf>
    <xf numFmtId="0" fontId="1" fillId="2" borderId="6" xfId="0" applyFont="1" applyFill="1" applyBorder="1" applyAlignment="1">
      <alignment horizontal="right" vertical="center" wrapText="1"/>
    </xf>
    <xf numFmtId="0" fontId="0" fillId="0" borderId="7" xfId="0" applyBorder="1" applyAlignment="1">
      <alignment horizontal="right" vertical="center" wrapText="1"/>
    </xf>
    <xf numFmtId="0" fontId="0" fillId="0" borderId="8" xfId="0" applyBorder="1" applyAlignment="1">
      <alignment horizontal="center" vertical="center" wrapText="1"/>
    </xf>
    <xf numFmtId="0" fontId="0" fillId="0" borderId="8" xfId="0" applyBorder="1" applyAlignment="1">
      <alignment horizontal="right" vertical="center" wrapText="1"/>
    </xf>
    <xf numFmtId="0" fontId="0" fillId="0" borderId="9" xfId="0" applyBorder="1" applyAlignment="1">
      <alignment horizontal="right" vertical="center" wrapText="1"/>
    </xf>
    <xf numFmtId="0" fontId="2" fillId="0" borderId="0" xfId="1"/>
    <xf numFmtId="0" fontId="0" fillId="0" borderId="0" xfId="0" applyBorder="1" applyAlignment="1">
      <alignment horizontal="right" vertical="center" wrapText="1"/>
    </xf>
    <xf numFmtId="4" fontId="0" fillId="0" borderId="0" xfId="0" applyNumberFormat="1" applyBorder="1" applyAlignment="1">
      <alignment horizontal="right" vertical="center" wrapText="1"/>
    </xf>
  </cellXfs>
  <cellStyles count="2">
    <cellStyle name="Hyperlink" xfId="1" builtinId="8"/>
    <cellStyle name="Normal" xfId="0" builtinId="0"/>
  </cellStyles>
  <dxfs count="11">
    <dxf>
      <alignment horizontal="right" vertical="center" textRotation="0" wrapText="1" indent="0" justifyLastLine="0" shrinkToFit="0" readingOrder="0"/>
      <border diagonalUp="0" diagonalDown="0">
        <left style="thin">
          <color rgb="FF6666FF"/>
        </left>
        <right/>
        <top style="thin">
          <color rgb="FF6666FF"/>
        </top>
        <bottom style="thin">
          <color rgb="FF6666FF"/>
        </bottom>
        <vertical/>
        <horizontal/>
      </border>
    </dxf>
    <dxf>
      <alignment horizontal="right" vertical="center" textRotation="0" wrapText="1" indent="0" justifyLastLine="0" shrinkToFit="0" readingOrder="0"/>
      <border diagonalUp="0" diagonalDown="0">
        <left style="thin">
          <color rgb="FF6666FF"/>
        </left>
        <right style="thin">
          <color rgb="FF6666FF"/>
        </right>
        <top style="thin">
          <color rgb="FF6666FF"/>
        </top>
        <bottom style="thin">
          <color rgb="FF6666FF"/>
        </bottom>
        <vertical/>
        <horizontal/>
      </border>
    </dxf>
    <dxf>
      <alignment horizontal="right" vertical="center" textRotation="0" wrapText="1" indent="0" justifyLastLine="0" shrinkToFit="0" readingOrder="0"/>
      <border diagonalUp="0" diagonalDown="0">
        <left style="thin">
          <color rgb="FF6666FF"/>
        </left>
        <right style="thin">
          <color rgb="FF6666FF"/>
        </right>
        <top style="thin">
          <color rgb="FF6666FF"/>
        </top>
        <bottom style="thin">
          <color rgb="FF6666FF"/>
        </bottom>
        <vertical/>
        <horizontal/>
      </border>
    </dxf>
    <dxf>
      <alignment horizontal="center" vertical="center" textRotation="0" wrapText="1" indent="0" justifyLastLine="0" shrinkToFit="0" readingOrder="0"/>
      <border diagonalUp="0" diagonalDown="0">
        <left style="thin">
          <color rgb="FF6666FF"/>
        </left>
        <right style="thin">
          <color rgb="FF6666FF"/>
        </right>
        <top style="thin">
          <color rgb="FF6666FF"/>
        </top>
        <bottom style="thin">
          <color rgb="FF6666FF"/>
        </bottom>
        <vertical/>
        <horizontal/>
      </border>
    </dxf>
    <dxf>
      <alignment horizontal="center" vertical="center" textRotation="0" wrapText="1" indent="0" justifyLastLine="0" shrinkToFit="0" readingOrder="0"/>
      <border diagonalUp="0" diagonalDown="0">
        <left style="thin">
          <color rgb="FF6666FF"/>
        </left>
        <right style="thin">
          <color rgb="FF6666FF"/>
        </right>
        <top style="thin">
          <color rgb="FF6666FF"/>
        </top>
        <bottom style="thin">
          <color rgb="FF6666FF"/>
        </bottom>
        <vertical/>
        <horizontal/>
      </border>
    </dxf>
    <dxf>
      <alignment horizontal="center" vertical="center" textRotation="0" wrapText="1" indent="0" justifyLastLine="0" shrinkToFit="0" readingOrder="0"/>
      <border diagonalUp="0" diagonalDown="0">
        <left style="thin">
          <color rgb="FF6666FF"/>
        </left>
        <right style="thin">
          <color rgb="FF6666FF"/>
        </right>
        <top style="thin">
          <color rgb="FF6666FF"/>
        </top>
        <bottom style="thin">
          <color rgb="FF6666FF"/>
        </bottom>
        <vertical/>
        <horizontal/>
      </border>
    </dxf>
    <dxf>
      <alignment horizontal="right" vertical="center" textRotation="0" wrapText="1" indent="0" justifyLastLine="0" shrinkToFit="0" readingOrder="0"/>
      <border diagonalUp="0" diagonalDown="0">
        <left/>
        <right style="thin">
          <color rgb="FF6666FF"/>
        </right>
        <top style="thin">
          <color rgb="FF6666FF"/>
        </top>
        <bottom style="thin">
          <color rgb="FF6666FF"/>
        </bottom>
        <vertical/>
        <horizontal/>
      </border>
    </dxf>
    <dxf>
      <border outline="0">
        <top style="thin">
          <color rgb="FF6666FF"/>
        </top>
      </border>
    </dxf>
    <dxf>
      <border outline="0">
        <left style="thin">
          <color rgb="FF6666FF"/>
        </left>
        <right style="thin">
          <color rgb="FF6666FF"/>
        </right>
        <top style="thin">
          <color rgb="FF6666FF"/>
        </top>
        <bottom style="thin">
          <color rgb="FF6666FF"/>
        </bottom>
      </border>
    </dxf>
    <dxf>
      <border outline="0">
        <bottom style="thin">
          <color rgb="FF6666FF"/>
        </bottom>
      </border>
    </dxf>
    <dxf>
      <font>
        <b/>
        <i val="0"/>
        <strike val="0"/>
        <condense val="0"/>
        <extend val="0"/>
        <outline val="0"/>
        <shadow val="0"/>
        <u val="none"/>
        <vertAlign val="baseline"/>
        <sz val="11"/>
        <color theme="1"/>
        <name val="Calibri"/>
        <family val="2"/>
        <scheme val="minor"/>
      </font>
      <fill>
        <patternFill patternType="solid">
          <fgColor indexed="64"/>
          <bgColor rgb="FF9999FF"/>
        </patternFill>
      </fill>
      <alignment horizontal="right" vertical="center" textRotation="0" wrapText="1" indent="0" justifyLastLine="0" shrinkToFit="0" readingOrder="0"/>
      <border diagonalUp="0" diagonalDown="0" outline="0">
        <left style="thin">
          <color rgb="FF6666FF"/>
        </left>
        <right style="thin">
          <color rgb="FF6666FF"/>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absolute">
    <xdr:from>
      <xdr:col>8</xdr:col>
      <xdr:colOff>16328</xdr:colOff>
      <xdr:row>7</xdr:row>
      <xdr:rowOff>114300</xdr:rowOff>
    </xdr:from>
    <xdr:to>
      <xdr:col>9</xdr:col>
      <xdr:colOff>1191985</xdr:colOff>
      <xdr:row>20</xdr:row>
      <xdr:rowOff>88440</xdr:rowOff>
    </xdr:to>
    <mc:AlternateContent xmlns:mc="http://schemas.openxmlformats.org/markup-compatibility/2006">
      <mc:Choice xmlns:sle15="http://schemas.microsoft.com/office/drawing/2012/slicer" Requires="sle15">
        <xdr:graphicFrame macro="">
          <xdr:nvGraphicFramePr>
            <xdr:cNvPr id="2" name="Region 1">
              <a:extLst>
                <a:ext uri="{FF2B5EF4-FFF2-40B4-BE49-F238E27FC236}">
                  <a16:creationId xmlns:a16="http://schemas.microsoft.com/office/drawing/2014/main" id="{BFA5516C-834E-4133-86E2-65A05450B136}"/>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4822371" y="1409700"/>
              <a:ext cx="1828800" cy="2564940"/>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EFC005C-837C-487E-9792-13E56F0ACB33}" sourceName="Region">
  <extLst>
    <x:ext xmlns:x15="http://schemas.microsoft.com/office/spreadsheetml/2010/11/main" uri="{2F2917AC-EB37-4324-AD4E-5DD8C200BD13}">
      <x15:tableSlicerCache tableId="1" column="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43FA042B-F7F9-4BE9-9AE1-DBD1E020B4B3}" cache="Slicer_Region" caption="Region" rowHeight="24583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2BB841-FB92-473D-A2F7-056B57B801CC}" name="Table1" displayName="Table1" ref="A7:G50" totalsRowShown="0" headerRowDxfId="10" headerRowBorderDxfId="9" tableBorderDxfId="8" totalsRowBorderDxfId="7">
  <autoFilter ref="A7:G50" xr:uid="{CEDFFF5E-8CC2-4829-AAA1-E0618F8F911A}"/>
  <tableColumns count="7">
    <tableColumn id="1" xr3:uid="{D59A98C3-D8F1-4486-A01A-565A093E99A4}" name="OrderDate" dataDxfId="6"/>
    <tableColumn id="2" xr3:uid="{39DB7931-BAE3-4D86-AE4D-69BF8557318F}" name="Region" dataDxfId="5"/>
    <tableColumn id="3" xr3:uid="{84C6DB4A-A319-4BDA-A50A-BD188D03C918}" name="Rep" dataDxfId="4"/>
    <tableColumn id="4" xr3:uid="{5F2CBA4A-908D-4C05-B285-E2C3B67DCFEE}" name="Item" dataDxfId="3"/>
    <tableColumn id="5" xr3:uid="{0876D80F-608D-488F-8DBB-B5E85882B324}" name="Units" dataDxfId="2"/>
    <tableColumn id="6" xr3:uid="{C3C8E5BF-87E3-453C-9762-944D85F515B4}" name="UnitCost" dataDxfId="1"/>
    <tableColumn id="7" xr3:uid="{F367698A-3B14-4DBD-A914-5944D9D8460E}" name="Total" dataDxfId="0"/>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contextures.com/xlSampleData01.html" TargetMode="External"/><Relationship Id="rId5" Type="http://schemas.microsoft.com/office/2007/relationships/slicer" Target="../slicers/slicer1.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71CE8-5CCE-4907-AD0A-111A35A3372B}">
  <sheetPr codeName="Sheet1"/>
  <dimension ref="A1:M50"/>
  <sheetViews>
    <sheetView tabSelected="1" workbookViewId="0">
      <selection activeCell="D4" sqref="D4"/>
    </sheetView>
  </sheetViews>
  <sheetFormatPr defaultRowHeight="14.6" x14ac:dyDescent="0.4"/>
  <cols>
    <col min="1" max="1" width="10.3828125" bestFit="1" customWidth="1"/>
    <col min="2" max="2" width="11" bestFit="1" customWidth="1"/>
    <col min="3" max="3" width="8.53515625" bestFit="1" customWidth="1"/>
    <col min="4" max="4" width="9.15234375" bestFit="1" customWidth="1"/>
    <col min="5" max="5" width="5.15234375" bestFit="1" customWidth="1"/>
    <col min="6" max="6" width="8" bestFit="1" customWidth="1"/>
    <col min="7" max="7" width="7.84375" bestFit="1" customWidth="1"/>
    <col min="8" max="8" width="7.84375" customWidth="1"/>
    <col min="10" max="10" width="17.07421875" bestFit="1" customWidth="1"/>
    <col min="11" max="11" width="16.765625" bestFit="1" customWidth="1"/>
    <col min="12" max="12" width="9.4609375" bestFit="1" customWidth="1"/>
    <col min="13" max="13" width="12.23046875" bestFit="1" customWidth="1"/>
    <col min="14" max="14" width="7.921875" bestFit="1" customWidth="1"/>
  </cols>
  <sheetData>
    <row r="1" spans="1:13" x14ac:dyDescent="0.4">
      <c r="A1" t="s">
        <v>52</v>
      </c>
      <c r="B1" s="15" t="s">
        <v>53</v>
      </c>
      <c r="I1" t="s">
        <v>54</v>
      </c>
      <c r="J1" t="s">
        <v>60</v>
      </c>
      <c r="K1" t="s">
        <v>59</v>
      </c>
      <c r="L1" t="s">
        <v>56</v>
      </c>
      <c r="M1" t="s">
        <v>57</v>
      </c>
    </row>
    <row r="2" spans="1:13" x14ac:dyDescent="0.4">
      <c r="B2" s="15"/>
      <c r="I2" t="str" cm="1">
        <f t="array" aca="1" ref="I2" ca="1">FindNthVisibleCell(J2,K2,L2,M2)</f>
        <v>Jones</v>
      </c>
      <c r="J2" t="s">
        <v>55</v>
      </c>
      <c r="K2" t="s">
        <v>58</v>
      </c>
      <c r="L2">
        <v>1</v>
      </c>
      <c r="M2">
        <v>3</v>
      </c>
    </row>
    <row r="3" spans="1:13" x14ac:dyDescent="0.4">
      <c r="B3" s="15"/>
      <c r="I3" t="str" cm="1">
        <f t="array" aca="1" ref="I3" ca="1">FindNthVisibleCell(J3,K3,L3,M3)</f>
        <v>Kivell</v>
      </c>
      <c r="J3" t="s">
        <v>55</v>
      </c>
      <c r="K3" t="s">
        <v>58</v>
      </c>
      <c r="L3">
        <v>2</v>
      </c>
      <c r="M3">
        <v>3</v>
      </c>
    </row>
    <row r="4" spans="1:13" x14ac:dyDescent="0.4">
      <c r="B4" s="15"/>
      <c r="H4" s="16"/>
      <c r="I4" t="str" cm="1">
        <f t="array" aca="1" ref="I4" ca="1">FindNthVisibleCell(J4,K4,L4,M4)</f>
        <v>Jardine</v>
      </c>
      <c r="J4" t="s">
        <v>55</v>
      </c>
      <c r="K4" t="s">
        <v>58</v>
      </c>
      <c r="L4">
        <v>3</v>
      </c>
      <c r="M4">
        <v>3</v>
      </c>
    </row>
    <row r="5" spans="1:13" x14ac:dyDescent="0.4">
      <c r="B5" s="15"/>
      <c r="H5" s="16"/>
      <c r="I5" t="str" cm="1">
        <f t="array" aca="1" ref="I5" ca="1">FindNthVisibleCell(J5,K5,L5,M5)</f>
        <v>Gill</v>
      </c>
      <c r="J5" t="s">
        <v>55</v>
      </c>
      <c r="K5" t="s">
        <v>58</v>
      </c>
      <c r="L5">
        <v>4</v>
      </c>
      <c r="M5">
        <v>3</v>
      </c>
    </row>
    <row r="6" spans="1:13" x14ac:dyDescent="0.4">
      <c r="H6" s="16"/>
      <c r="I6" t="str" cm="1">
        <f t="array" aca="1" ref="I6" ca="1">FindNthVisibleCell(J6,K6,L6,M6)</f>
        <v>Sorvino</v>
      </c>
      <c r="J6" t="s">
        <v>55</v>
      </c>
      <c r="K6" t="s">
        <v>58</v>
      </c>
      <c r="L6">
        <v>5</v>
      </c>
      <c r="M6">
        <v>3</v>
      </c>
    </row>
    <row r="7" spans="1:13" x14ac:dyDescent="0.4">
      <c r="A7" s="7" t="s">
        <v>0</v>
      </c>
      <c r="B7" s="8" t="s">
        <v>1</v>
      </c>
      <c r="C7" s="8" t="s">
        <v>2</v>
      </c>
      <c r="D7" s="8" t="s">
        <v>3</v>
      </c>
      <c r="E7" s="9" t="s">
        <v>4</v>
      </c>
      <c r="F7" s="9" t="s">
        <v>5</v>
      </c>
      <c r="G7" s="10" t="s">
        <v>6</v>
      </c>
      <c r="H7" s="16"/>
    </row>
    <row r="8" spans="1:13" x14ac:dyDescent="0.4">
      <c r="A8" s="3">
        <v>43617</v>
      </c>
      <c r="B8" s="1" t="s">
        <v>7</v>
      </c>
      <c r="C8" s="1" t="s">
        <v>8</v>
      </c>
      <c r="D8" s="1" t="s">
        <v>9</v>
      </c>
      <c r="E8" s="2">
        <v>95</v>
      </c>
      <c r="F8" s="2">
        <v>1.99</v>
      </c>
      <c r="G8" s="5">
        <v>189.05</v>
      </c>
      <c r="H8" s="16"/>
    </row>
    <row r="9" spans="1:13" x14ac:dyDescent="0.4">
      <c r="A9" s="4" t="s">
        <v>10</v>
      </c>
      <c r="B9" s="1" t="s">
        <v>11</v>
      </c>
      <c r="C9" s="1" t="s">
        <v>12</v>
      </c>
      <c r="D9" s="1" t="s">
        <v>13</v>
      </c>
      <c r="E9" s="2">
        <v>50</v>
      </c>
      <c r="F9" s="2">
        <v>19.989999999999998</v>
      </c>
      <c r="G9" s="5">
        <v>999.5</v>
      </c>
      <c r="H9" s="16"/>
    </row>
    <row r="10" spans="1:13" x14ac:dyDescent="0.4">
      <c r="A10" s="3">
        <v>43710</v>
      </c>
      <c r="B10" s="1" t="s">
        <v>11</v>
      </c>
      <c r="C10" s="1" t="s">
        <v>14</v>
      </c>
      <c r="D10" s="1" t="s">
        <v>9</v>
      </c>
      <c r="E10" s="2">
        <v>36</v>
      </c>
      <c r="F10" s="2">
        <v>4.99</v>
      </c>
      <c r="G10" s="5">
        <v>179.64</v>
      </c>
      <c r="H10" s="16"/>
    </row>
    <row r="11" spans="1:13" x14ac:dyDescent="0.4">
      <c r="A11" s="4" t="s">
        <v>15</v>
      </c>
      <c r="B11" s="1" t="s">
        <v>11</v>
      </c>
      <c r="C11" s="1" t="s">
        <v>16</v>
      </c>
      <c r="D11" s="1" t="s">
        <v>17</v>
      </c>
      <c r="E11" s="2">
        <v>27</v>
      </c>
      <c r="F11" s="2">
        <v>19.989999999999998</v>
      </c>
      <c r="G11" s="5">
        <v>539.73</v>
      </c>
      <c r="H11" s="16"/>
    </row>
    <row r="12" spans="1:13" x14ac:dyDescent="0.4">
      <c r="A12" s="4" t="s">
        <v>18</v>
      </c>
      <c r="B12" s="1" t="s">
        <v>19</v>
      </c>
      <c r="C12" s="1" t="s">
        <v>20</v>
      </c>
      <c r="D12" s="1" t="s">
        <v>9</v>
      </c>
      <c r="E12" s="2">
        <v>56</v>
      </c>
      <c r="F12" s="2">
        <v>2.99</v>
      </c>
      <c r="G12" s="5">
        <v>167.44</v>
      </c>
      <c r="H12" s="16"/>
    </row>
    <row r="13" spans="1:13" x14ac:dyDescent="0.4">
      <c r="A13" s="3">
        <v>43469</v>
      </c>
      <c r="B13" s="1" t="s">
        <v>7</v>
      </c>
      <c r="C13" s="1" t="s">
        <v>8</v>
      </c>
      <c r="D13" s="1" t="s">
        <v>13</v>
      </c>
      <c r="E13" s="2">
        <v>60</v>
      </c>
      <c r="F13" s="2">
        <v>4.99</v>
      </c>
      <c r="G13" s="5">
        <v>299.39999999999998</v>
      </c>
      <c r="H13" s="16"/>
    </row>
    <row r="14" spans="1:13" x14ac:dyDescent="0.4">
      <c r="A14" s="4" t="s">
        <v>21</v>
      </c>
      <c r="B14" s="1" t="s">
        <v>11</v>
      </c>
      <c r="C14" s="1" t="s">
        <v>22</v>
      </c>
      <c r="D14" s="1" t="s">
        <v>9</v>
      </c>
      <c r="E14" s="2">
        <v>75</v>
      </c>
      <c r="F14" s="2">
        <v>1.99</v>
      </c>
      <c r="G14" s="5">
        <v>149.25</v>
      </c>
      <c r="H14" s="16"/>
    </row>
    <row r="15" spans="1:13" x14ac:dyDescent="0.4">
      <c r="A15" s="3">
        <v>43590</v>
      </c>
      <c r="B15" s="1" t="s">
        <v>11</v>
      </c>
      <c r="C15" s="1" t="s">
        <v>14</v>
      </c>
      <c r="D15" s="1" t="s">
        <v>9</v>
      </c>
      <c r="E15" s="2">
        <v>90</v>
      </c>
      <c r="F15" s="2">
        <v>4.99</v>
      </c>
      <c r="G15" s="5">
        <v>449.1</v>
      </c>
      <c r="H15" s="16"/>
    </row>
    <row r="16" spans="1:13" ht="29.15" x14ac:dyDescent="0.4">
      <c r="A16" s="4" t="s">
        <v>23</v>
      </c>
      <c r="B16" s="1" t="s">
        <v>19</v>
      </c>
      <c r="C16" s="1" t="s">
        <v>24</v>
      </c>
      <c r="D16" s="1" t="s">
        <v>9</v>
      </c>
      <c r="E16" s="2">
        <v>32</v>
      </c>
      <c r="F16" s="2">
        <v>1.99</v>
      </c>
      <c r="G16" s="5">
        <v>63.68</v>
      </c>
      <c r="H16" s="17"/>
    </row>
    <row r="17" spans="1:8" x14ac:dyDescent="0.4">
      <c r="A17" s="3">
        <v>43683</v>
      </c>
      <c r="B17" s="1" t="s">
        <v>7</v>
      </c>
      <c r="C17" s="1" t="s">
        <v>8</v>
      </c>
      <c r="D17" s="1" t="s">
        <v>13</v>
      </c>
      <c r="E17" s="2">
        <v>60</v>
      </c>
      <c r="F17" s="2">
        <v>8.99</v>
      </c>
      <c r="G17" s="5">
        <v>539.4</v>
      </c>
      <c r="H17" s="16"/>
    </row>
    <row r="18" spans="1:8" x14ac:dyDescent="0.4">
      <c r="A18" s="4" t="s">
        <v>25</v>
      </c>
      <c r="B18" s="1" t="s">
        <v>11</v>
      </c>
      <c r="C18" s="1" t="s">
        <v>26</v>
      </c>
      <c r="D18" s="1" t="s">
        <v>9</v>
      </c>
      <c r="E18" s="2">
        <v>90</v>
      </c>
      <c r="F18" s="2">
        <v>4.99</v>
      </c>
      <c r="G18" s="5">
        <v>449.1</v>
      </c>
      <c r="H18" s="16"/>
    </row>
    <row r="19" spans="1:8" x14ac:dyDescent="0.4">
      <c r="A19" s="3">
        <v>43806</v>
      </c>
      <c r="B19" s="1" t="s">
        <v>7</v>
      </c>
      <c r="C19" s="1" t="s">
        <v>27</v>
      </c>
      <c r="D19" s="1" t="s">
        <v>13</v>
      </c>
      <c r="E19" s="2">
        <v>29</v>
      </c>
      <c r="F19" s="2">
        <v>1.99</v>
      </c>
      <c r="G19" s="5">
        <v>57.71</v>
      </c>
      <c r="H19" s="16"/>
    </row>
    <row r="20" spans="1:8" x14ac:dyDescent="0.4">
      <c r="A20" s="4" t="s">
        <v>28</v>
      </c>
      <c r="B20" s="1" t="s">
        <v>7</v>
      </c>
      <c r="C20" s="1" t="s">
        <v>29</v>
      </c>
      <c r="D20" s="1" t="s">
        <v>13</v>
      </c>
      <c r="E20" s="2">
        <v>81</v>
      </c>
      <c r="F20" s="2">
        <v>19.989999999999998</v>
      </c>
      <c r="G20" s="6">
        <v>1619.19</v>
      </c>
      <c r="H20" s="16"/>
    </row>
    <row r="21" spans="1:8" x14ac:dyDescent="0.4">
      <c r="A21" s="4" t="s">
        <v>30</v>
      </c>
      <c r="B21" s="1" t="s">
        <v>7</v>
      </c>
      <c r="C21" s="1" t="s">
        <v>8</v>
      </c>
      <c r="D21" s="1" t="s">
        <v>9</v>
      </c>
      <c r="E21" s="2">
        <v>35</v>
      </c>
      <c r="F21" s="2">
        <v>4.99</v>
      </c>
      <c r="G21" s="5">
        <v>174.65</v>
      </c>
      <c r="H21" s="16"/>
    </row>
    <row r="22" spans="1:8" x14ac:dyDescent="0.4">
      <c r="A22" s="3">
        <v>43474</v>
      </c>
      <c r="B22" s="1" t="s">
        <v>11</v>
      </c>
      <c r="C22" s="1" t="s">
        <v>31</v>
      </c>
      <c r="D22" s="1" t="s">
        <v>32</v>
      </c>
      <c r="E22" s="2">
        <v>2</v>
      </c>
      <c r="F22" s="2">
        <v>125</v>
      </c>
      <c r="G22" s="5">
        <v>250</v>
      </c>
      <c r="H22" s="16"/>
    </row>
    <row r="23" spans="1:8" x14ac:dyDescent="0.4">
      <c r="A23" s="4" t="s">
        <v>33</v>
      </c>
      <c r="B23" s="1" t="s">
        <v>7</v>
      </c>
      <c r="C23" s="1" t="s">
        <v>8</v>
      </c>
      <c r="D23" s="1" t="s">
        <v>34</v>
      </c>
      <c r="E23" s="2">
        <v>16</v>
      </c>
      <c r="F23" s="2">
        <v>15.99</v>
      </c>
      <c r="G23" s="5">
        <v>255.84</v>
      </c>
      <c r="H23" s="16"/>
    </row>
    <row r="24" spans="1:8" x14ac:dyDescent="0.4">
      <c r="A24" s="3">
        <v>43595</v>
      </c>
      <c r="B24" s="1" t="s">
        <v>11</v>
      </c>
      <c r="C24" s="1" t="s">
        <v>26</v>
      </c>
      <c r="D24" s="1" t="s">
        <v>13</v>
      </c>
      <c r="E24" s="2">
        <v>28</v>
      </c>
      <c r="F24" s="2">
        <v>8.99</v>
      </c>
      <c r="G24" s="5">
        <v>251.72</v>
      </c>
      <c r="H24" s="16"/>
    </row>
    <row r="25" spans="1:8" x14ac:dyDescent="0.4">
      <c r="A25" s="4" t="s">
        <v>35</v>
      </c>
      <c r="B25" s="1" t="s">
        <v>7</v>
      </c>
      <c r="C25" s="1" t="s">
        <v>8</v>
      </c>
      <c r="D25" s="1" t="s">
        <v>17</v>
      </c>
      <c r="E25" s="2">
        <v>64</v>
      </c>
      <c r="F25" s="2">
        <v>8.99</v>
      </c>
      <c r="G25" s="5">
        <v>575.36</v>
      </c>
      <c r="H25" s="17"/>
    </row>
    <row r="26" spans="1:8" x14ac:dyDescent="0.4">
      <c r="A26" s="3">
        <v>43688</v>
      </c>
      <c r="B26" s="1" t="s">
        <v>7</v>
      </c>
      <c r="C26" s="1" t="s">
        <v>29</v>
      </c>
      <c r="D26" s="1" t="s">
        <v>17</v>
      </c>
      <c r="E26" s="2">
        <v>15</v>
      </c>
      <c r="F26" s="2">
        <v>19.989999999999998</v>
      </c>
      <c r="G26" s="5">
        <v>299.85000000000002</v>
      </c>
      <c r="H26" s="16"/>
    </row>
    <row r="27" spans="1:8" x14ac:dyDescent="0.4">
      <c r="A27" s="4" t="s">
        <v>36</v>
      </c>
      <c r="B27" s="1" t="s">
        <v>11</v>
      </c>
      <c r="C27" s="1" t="s">
        <v>12</v>
      </c>
      <c r="D27" s="1" t="s">
        <v>34</v>
      </c>
      <c r="E27" s="2">
        <v>96</v>
      </c>
      <c r="F27" s="2">
        <v>4.99</v>
      </c>
      <c r="G27" s="5">
        <v>479.04</v>
      </c>
      <c r="H27" s="17"/>
    </row>
    <row r="28" spans="1:8" x14ac:dyDescent="0.4">
      <c r="A28" s="3">
        <v>43811</v>
      </c>
      <c r="B28" s="1" t="s">
        <v>11</v>
      </c>
      <c r="C28" s="1" t="s">
        <v>31</v>
      </c>
      <c r="D28" s="1" t="s">
        <v>9</v>
      </c>
      <c r="E28" s="2">
        <v>67</v>
      </c>
      <c r="F28" s="2">
        <v>1.29</v>
      </c>
      <c r="G28" s="5">
        <v>86.43</v>
      </c>
      <c r="H28" s="16"/>
    </row>
    <row r="29" spans="1:8" x14ac:dyDescent="0.4">
      <c r="A29" s="4" t="s">
        <v>37</v>
      </c>
      <c r="B29" s="1" t="s">
        <v>7</v>
      </c>
      <c r="C29" s="1" t="s">
        <v>29</v>
      </c>
      <c r="D29" s="1" t="s">
        <v>34</v>
      </c>
      <c r="E29" s="2">
        <v>74</v>
      </c>
      <c r="F29" s="2">
        <v>15.99</v>
      </c>
      <c r="G29" s="6">
        <v>1183.26</v>
      </c>
      <c r="H29" s="16"/>
    </row>
    <row r="30" spans="1:8" x14ac:dyDescent="0.4">
      <c r="A30" s="4" t="s">
        <v>38</v>
      </c>
      <c r="B30" s="1" t="s">
        <v>11</v>
      </c>
      <c r="C30" s="1" t="s">
        <v>16</v>
      </c>
      <c r="D30" s="1" t="s">
        <v>13</v>
      </c>
      <c r="E30" s="2">
        <v>46</v>
      </c>
      <c r="F30" s="2">
        <v>8.99</v>
      </c>
      <c r="G30" s="5">
        <v>413.54</v>
      </c>
      <c r="H30" s="16"/>
    </row>
    <row r="31" spans="1:8" x14ac:dyDescent="0.4">
      <c r="A31" s="3">
        <v>43832</v>
      </c>
      <c r="B31" s="1" t="s">
        <v>11</v>
      </c>
      <c r="C31" s="1" t="s">
        <v>31</v>
      </c>
      <c r="D31" s="1" t="s">
        <v>13</v>
      </c>
      <c r="E31" s="2">
        <v>87</v>
      </c>
      <c r="F31" s="2">
        <v>15</v>
      </c>
      <c r="G31" s="6">
        <v>1305</v>
      </c>
      <c r="H31" s="16"/>
    </row>
    <row r="32" spans="1:8" x14ac:dyDescent="0.4">
      <c r="A32" s="4" t="s">
        <v>39</v>
      </c>
      <c r="B32" s="1" t="s">
        <v>7</v>
      </c>
      <c r="C32" s="1" t="s">
        <v>8</v>
      </c>
      <c r="D32" s="1" t="s">
        <v>13</v>
      </c>
      <c r="E32" s="2">
        <v>4</v>
      </c>
      <c r="F32" s="2">
        <v>4.99</v>
      </c>
      <c r="G32" s="5">
        <v>19.96</v>
      </c>
      <c r="H32" s="16"/>
    </row>
    <row r="33" spans="1:8" x14ac:dyDescent="0.4">
      <c r="A33" s="3">
        <v>44015</v>
      </c>
      <c r="B33" s="1" t="s">
        <v>19</v>
      </c>
      <c r="C33" s="1" t="s">
        <v>20</v>
      </c>
      <c r="D33" s="1" t="s">
        <v>13</v>
      </c>
      <c r="E33" s="2">
        <v>7</v>
      </c>
      <c r="F33" s="2">
        <v>19.989999999999998</v>
      </c>
      <c r="G33" s="5">
        <v>139.93</v>
      </c>
      <c r="H33" s="16"/>
    </row>
    <row r="34" spans="1:8" x14ac:dyDescent="0.4">
      <c r="A34" s="4" t="s">
        <v>40</v>
      </c>
      <c r="B34" s="1" t="s">
        <v>11</v>
      </c>
      <c r="C34" s="1" t="s">
        <v>14</v>
      </c>
      <c r="D34" s="1" t="s">
        <v>34</v>
      </c>
      <c r="E34" s="2">
        <v>50</v>
      </c>
      <c r="F34" s="2">
        <v>4.99</v>
      </c>
      <c r="G34" s="5">
        <v>249.5</v>
      </c>
      <c r="H34" s="16"/>
    </row>
    <row r="35" spans="1:8" x14ac:dyDescent="0.4">
      <c r="A35" s="3">
        <v>44108</v>
      </c>
      <c r="B35" s="1" t="s">
        <v>11</v>
      </c>
      <c r="C35" s="1" t="s">
        <v>22</v>
      </c>
      <c r="D35" s="1" t="s">
        <v>9</v>
      </c>
      <c r="E35" s="2">
        <v>66</v>
      </c>
      <c r="F35" s="2">
        <v>1.99</v>
      </c>
      <c r="G35" s="5">
        <v>131.34</v>
      </c>
      <c r="H35" s="16"/>
    </row>
    <row r="36" spans="1:8" x14ac:dyDescent="0.4">
      <c r="A36" s="4" t="s">
        <v>41</v>
      </c>
      <c r="B36" s="1" t="s">
        <v>7</v>
      </c>
      <c r="C36" s="1" t="s">
        <v>27</v>
      </c>
      <c r="D36" s="1" t="s">
        <v>17</v>
      </c>
      <c r="E36" s="2">
        <v>96</v>
      </c>
      <c r="F36" s="2">
        <v>4.99</v>
      </c>
      <c r="G36" s="5">
        <v>479.04</v>
      </c>
      <c r="H36" s="16"/>
    </row>
    <row r="37" spans="1:8" x14ac:dyDescent="0.4">
      <c r="A37" s="4" t="s">
        <v>42</v>
      </c>
      <c r="B37" s="1" t="s">
        <v>11</v>
      </c>
      <c r="C37" s="1" t="s">
        <v>16</v>
      </c>
      <c r="D37" s="1" t="s">
        <v>9</v>
      </c>
      <c r="E37" s="2">
        <v>53</v>
      </c>
      <c r="F37" s="2">
        <v>1.29</v>
      </c>
      <c r="G37" s="5">
        <v>68.37</v>
      </c>
      <c r="H37" s="16"/>
    </row>
    <row r="38" spans="1:8" x14ac:dyDescent="0.4">
      <c r="A38" s="4" t="s">
        <v>43</v>
      </c>
      <c r="B38" s="1" t="s">
        <v>11</v>
      </c>
      <c r="C38" s="1" t="s">
        <v>16</v>
      </c>
      <c r="D38" s="1" t="s">
        <v>13</v>
      </c>
      <c r="E38" s="2">
        <v>80</v>
      </c>
      <c r="F38" s="2">
        <v>8.99</v>
      </c>
      <c r="G38" s="5">
        <v>719.2</v>
      </c>
      <c r="H38" s="17"/>
    </row>
    <row r="39" spans="1:8" x14ac:dyDescent="0.4">
      <c r="A39" s="4" t="s">
        <v>44</v>
      </c>
      <c r="B39" s="1" t="s">
        <v>11</v>
      </c>
      <c r="C39" s="1" t="s">
        <v>12</v>
      </c>
      <c r="D39" s="1" t="s">
        <v>32</v>
      </c>
      <c r="E39" s="2">
        <v>5</v>
      </c>
      <c r="F39" s="2">
        <v>125</v>
      </c>
      <c r="G39" s="5">
        <v>625</v>
      </c>
      <c r="H39" s="16"/>
    </row>
    <row r="40" spans="1:8" x14ac:dyDescent="0.4">
      <c r="A40" s="3">
        <v>43928</v>
      </c>
      <c r="B40" s="1" t="s">
        <v>7</v>
      </c>
      <c r="C40" s="1" t="s">
        <v>8</v>
      </c>
      <c r="D40" s="1" t="s">
        <v>34</v>
      </c>
      <c r="E40" s="2">
        <v>62</v>
      </c>
      <c r="F40" s="2">
        <v>4.99</v>
      </c>
      <c r="G40" s="5">
        <v>309.38</v>
      </c>
      <c r="H40" s="16"/>
    </row>
    <row r="41" spans="1:8" x14ac:dyDescent="0.4">
      <c r="A41" s="4" t="s">
        <v>45</v>
      </c>
      <c r="B41" s="1" t="s">
        <v>11</v>
      </c>
      <c r="C41" s="1" t="s">
        <v>26</v>
      </c>
      <c r="D41" s="1" t="s">
        <v>34</v>
      </c>
      <c r="E41" s="2">
        <v>55</v>
      </c>
      <c r="F41" s="2">
        <v>12.49</v>
      </c>
      <c r="G41" s="5">
        <v>686.95</v>
      </c>
      <c r="H41" s="16"/>
    </row>
    <row r="42" spans="1:8" x14ac:dyDescent="0.4">
      <c r="A42" s="3">
        <v>44020</v>
      </c>
      <c r="B42" s="1" t="s">
        <v>11</v>
      </c>
      <c r="C42" s="1" t="s">
        <v>12</v>
      </c>
      <c r="D42" s="1" t="s">
        <v>34</v>
      </c>
      <c r="E42" s="2">
        <v>42</v>
      </c>
      <c r="F42" s="2">
        <v>23.95</v>
      </c>
      <c r="G42" s="6">
        <v>1005.9</v>
      </c>
      <c r="H42" s="17"/>
    </row>
    <row r="43" spans="1:8" x14ac:dyDescent="0.4">
      <c r="A43" s="4" t="s">
        <v>46</v>
      </c>
      <c r="B43" s="1" t="s">
        <v>19</v>
      </c>
      <c r="C43" s="1" t="s">
        <v>20</v>
      </c>
      <c r="D43" s="1" t="s">
        <v>32</v>
      </c>
      <c r="E43" s="2">
        <v>3</v>
      </c>
      <c r="F43" s="2">
        <v>275</v>
      </c>
      <c r="G43" s="5">
        <v>825</v>
      </c>
      <c r="H43" s="16"/>
    </row>
    <row r="44" spans="1:8" x14ac:dyDescent="0.4">
      <c r="A44" s="3">
        <v>44113</v>
      </c>
      <c r="B44" s="1" t="s">
        <v>11</v>
      </c>
      <c r="C44" s="1" t="s">
        <v>16</v>
      </c>
      <c r="D44" s="1" t="s">
        <v>9</v>
      </c>
      <c r="E44" s="2">
        <v>7</v>
      </c>
      <c r="F44" s="2">
        <v>1.29</v>
      </c>
      <c r="G44" s="5">
        <v>9.0299999999999994</v>
      </c>
      <c r="H44" s="16"/>
    </row>
    <row r="45" spans="1:8" x14ac:dyDescent="0.4">
      <c r="A45" s="4" t="s">
        <v>47</v>
      </c>
      <c r="B45" s="1" t="s">
        <v>19</v>
      </c>
      <c r="C45" s="1" t="s">
        <v>20</v>
      </c>
      <c r="D45" s="1" t="s">
        <v>17</v>
      </c>
      <c r="E45" s="2">
        <v>76</v>
      </c>
      <c r="F45" s="2">
        <v>1.99</v>
      </c>
      <c r="G45" s="5">
        <v>151.24</v>
      </c>
      <c r="H45" s="17"/>
    </row>
    <row r="46" spans="1:8" ht="29.15" x14ac:dyDescent="0.4">
      <c r="A46" s="4" t="s">
        <v>48</v>
      </c>
      <c r="B46" s="1" t="s">
        <v>19</v>
      </c>
      <c r="C46" s="1" t="s">
        <v>24</v>
      </c>
      <c r="D46" s="1" t="s">
        <v>13</v>
      </c>
      <c r="E46" s="2">
        <v>57</v>
      </c>
      <c r="F46" s="2">
        <v>19.989999999999998</v>
      </c>
      <c r="G46" s="6">
        <v>1139.43</v>
      </c>
      <c r="H46" s="16"/>
    </row>
    <row r="47" spans="1:8" x14ac:dyDescent="0.4">
      <c r="A47" s="4" t="s">
        <v>49</v>
      </c>
      <c r="B47" s="1" t="s">
        <v>11</v>
      </c>
      <c r="C47" s="1" t="s">
        <v>22</v>
      </c>
      <c r="D47" s="1" t="s">
        <v>9</v>
      </c>
      <c r="E47" s="2">
        <v>14</v>
      </c>
      <c r="F47" s="2">
        <v>1.29</v>
      </c>
      <c r="G47" s="5">
        <v>18.059999999999999</v>
      </c>
    </row>
    <row r="48" spans="1:8" x14ac:dyDescent="0.4">
      <c r="A48" s="4" t="s">
        <v>50</v>
      </c>
      <c r="B48" s="1" t="s">
        <v>11</v>
      </c>
      <c r="C48" s="1" t="s">
        <v>14</v>
      </c>
      <c r="D48" s="1" t="s">
        <v>13</v>
      </c>
      <c r="E48" s="2">
        <v>11</v>
      </c>
      <c r="F48" s="2">
        <v>4.99</v>
      </c>
      <c r="G48" s="5">
        <v>54.89</v>
      </c>
    </row>
    <row r="49" spans="1:7" x14ac:dyDescent="0.4">
      <c r="A49" s="3">
        <v>43933</v>
      </c>
      <c r="B49" s="1" t="s">
        <v>11</v>
      </c>
      <c r="C49" s="1" t="s">
        <v>14</v>
      </c>
      <c r="D49" s="1" t="s">
        <v>13</v>
      </c>
      <c r="E49" s="2">
        <v>94</v>
      </c>
      <c r="F49" s="2">
        <v>19.989999999999998</v>
      </c>
      <c r="G49" s="6">
        <v>1879.06</v>
      </c>
    </row>
    <row r="50" spans="1:7" x14ac:dyDescent="0.4">
      <c r="A50" s="11" t="s">
        <v>51</v>
      </c>
      <c r="B50" s="12" t="s">
        <v>11</v>
      </c>
      <c r="C50" s="12" t="s">
        <v>22</v>
      </c>
      <c r="D50" s="12" t="s">
        <v>13</v>
      </c>
      <c r="E50" s="13">
        <v>28</v>
      </c>
      <c r="F50" s="13">
        <v>4.99</v>
      </c>
      <c r="G50" s="14">
        <v>139.72</v>
      </c>
    </row>
  </sheetData>
  <phoneticPr fontId="3" type="noConversion"/>
  <hyperlinks>
    <hyperlink ref="B1" r:id="rId1" xr:uid="{E9E2E260-DB5A-4466-A32C-7E7FF37384A2}"/>
  </hyperlinks>
  <pageMargins left="0.7" right="0.7" top="0.75" bottom="0.75" header="0.3" footer="0.3"/>
  <pageSetup paperSize="9" orientation="portrait" r:id="rId2"/>
  <drawing r:id="rId3"/>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Data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McKew</dc:creator>
  <cp:lastModifiedBy>Jack McKew</cp:lastModifiedBy>
  <dcterms:created xsi:type="dcterms:W3CDTF">2020-04-11T00:51:56Z</dcterms:created>
  <dcterms:modified xsi:type="dcterms:W3CDTF">2020-04-11T06:54:56Z</dcterms:modified>
</cp:coreProperties>
</file>